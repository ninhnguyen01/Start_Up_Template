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nh/Documents/Documents - NinhsMacBook/"/>
    </mc:Choice>
  </mc:AlternateContent>
  <xr:revisionPtr revIDLastSave="0" documentId="13_ncr:1_{16BE8DF5-43CD-2E44-AA45-E2110D1A6E32}" xr6:coauthVersionLast="47" xr6:coauthVersionMax="47" xr10:uidLastSave="{00000000-0000-0000-0000-000000000000}"/>
  <bookViews>
    <workbookView xWindow="0" yWindow="660" windowWidth="28800" windowHeight="16220" activeTab="2" xr2:uid="{00000000-000D-0000-FFFF-FFFF00000000}"/>
  </bookViews>
  <sheets>
    <sheet name="Subscription" sheetId="3" r:id="rId1"/>
    <sheet name="Expense" sheetId="4" r:id="rId2"/>
    <sheet name="COL" sheetId="6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6" l="1"/>
  <c r="G4" i="6" s="1"/>
  <c r="B11" i="3"/>
  <c r="B7" i="4" s="1"/>
  <c r="B12" i="3"/>
  <c r="G5" i="6" l="1"/>
  <c r="G6" i="6" s="1"/>
  <c r="G7" i="6" s="1"/>
  <c r="G8" i="6" s="1"/>
  <c r="B11" i="4"/>
  <c r="B13" i="4" s="1"/>
  <c r="G9" i="6" l="1"/>
  <c r="L4" i="6"/>
  <c r="L5" i="6" s="1"/>
  <c r="B4" i="6" l="1"/>
  <c r="B8" i="6" l="1"/>
  <c r="B12" i="6" s="1"/>
</calcChain>
</file>

<file path=xl/sharedStrings.xml><?xml version="1.0" encoding="utf-8"?>
<sst xmlns="http://schemas.openxmlformats.org/spreadsheetml/2006/main" count="95" uniqueCount="47">
  <si>
    <t>Subscription</t>
  </si>
  <si>
    <t>Type</t>
  </si>
  <si>
    <t>Card</t>
  </si>
  <si>
    <t>Netflix</t>
  </si>
  <si>
    <t>Monthly</t>
  </si>
  <si>
    <t>Total</t>
  </si>
  <si>
    <t>Cost</t>
  </si>
  <si>
    <t>Gas</t>
  </si>
  <si>
    <t>Expense</t>
  </si>
  <si>
    <t>Phone</t>
  </si>
  <si>
    <t>Internet</t>
  </si>
  <si>
    <t>MS365</t>
  </si>
  <si>
    <t>Annually</t>
  </si>
  <si>
    <t>Gym</t>
  </si>
  <si>
    <t>Bills</t>
  </si>
  <si>
    <t>Rent</t>
  </si>
  <si>
    <t>COL</t>
  </si>
  <si>
    <t>Expense Total</t>
  </si>
  <si>
    <t>Bi-Weekly</t>
  </si>
  <si>
    <t>Monthly Income</t>
  </si>
  <si>
    <t>Insurance (Car)</t>
  </si>
  <si>
    <t>Disposable</t>
  </si>
  <si>
    <t>Savings</t>
  </si>
  <si>
    <t>Emergency</t>
  </si>
  <si>
    <t>Hourly</t>
  </si>
  <si>
    <t>Weekly</t>
  </si>
  <si>
    <t>Tax</t>
  </si>
  <si>
    <t>Net Total</t>
  </si>
  <si>
    <t>Inflation</t>
  </si>
  <si>
    <t>CPI</t>
  </si>
  <si>
    <t xml:space="preserve">Gross Total </t>
  </si>
  <si>
    <t>Annual</t>
  </si>
  <si>
    <t xml:space="preserve">Income </t>
  </si>
  <si>
    <t>Net Income</t>
  </si>
  <si>
    <t>Federal Tax</t>
  </si>
  <si>
    <t>Family</t>
  </si>
  <si>
    <t>AAA</t>
  </si>
  <si>
    <t>Costco</t>
  </si>
  <si>
    <r>
      <t>Total (</t>
    </r>
    <r>
      <rPr>
        <sz val="28"/>
        <rFont val="Calibri"/>
        <family val="2"/>
      </rPr>
      <t>with Annual</t>
    </r>
    <r>
      <rPr>
        <b/>
        <sz val="28"/>
        <rFont val="Calibri"/>
        <family val="2"/>
      </rPr>
      <t>)</t>
    </r>
  </si>
  <si>
    <t xml:space="preserve"> </t>
  </si>
  <si>
    <t>COL (Savings)</t>
  </si>
  <si>
    <t>Semi-Annual</t>
  </si>
  <si>
    <t>My CPI</t>
  </si>
  <si>
    <t>Extra Gym</t>
  </si>
  <si>
    <t>Music</t>
  </si>
  <si>
    <t>Cloud</t>
  </si>
  <si>
    <t>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</si>
</sst>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,##0.00&quot; &quot;;&quot;(&quot;#,##0.00&quot;)&quot;;&quot;-&quot;#&quot; &quot;;&quot; &quot;@&quot; &quot;"/>
    <numFmt numFmtId="165" formatCode="0.0%"/>
  </numFmts>
  <fonts count="26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sz val="28"/>
      <color rgb="FF000000"/>
      <name val="Calibri"/>
      <family val="2"/>
    </font>
    <font>
      <sz val="28"/>
      <color rgb="FFFF0000"/>
      <name val="Calibri"/>
      <family val="2"/>
    </font>
    <font>
      <sz val="28"/>
      <name val="Calibri"/>
      <family val="2"/>
    </font>
    <font>
      <b/>
      <sz val="28"/>
      <name val="Calibri"/>
      <family val="2"/>
    </font>
    <font>
      <b/>
      <sz val="28"/>
      <color rgb="FF000000"/>
      <name val="Calibri"/>
      <family val="2"/>
    </font>
    <font>
      <sz val="28"/>
      <color theme="0"/>
      <name val="Calibri"/>
      <family val="2"/>
    </font>
    <font>
      <b/>
      <sz val="28"/>
      <color rgb="FF00B050"/>
      <name val="Calibri"/>
      <family val="2"/>
    </font>
    <font>
      <b/>
      <sz val="28"/>
      <color rgb="FFFF0000"/>
      <name val="Calibri"/>
      <family val="2"/>
    </font>
    <font>
      <sz val="28"/>
      <color rgb="FF0070C0"/>
      <name val="Calibri"/>
      <family val="2"/>
    </font>
    <font>
      <b/>
      <sz val="28"/>
      <color theme="1"/>
      <name val="Calibri"/>
      <family val="2"/>
    </font>
    <font>
      <b/>
      <sz val="28"/>
      <color rgb="FF0070C0"/>
      <name val="Calibri"/>
      <family val="2"/>
    </font>
    <font>
      <b/>
      <sz val="28"/>
      <color rgb="FF7030A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1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164" fontId="1" fillId="0" borderId="0"/>
    <xf numFmtId="0" fontId="6" fillId="0" borderId="0"/>
    <xf numFmtId="0" fontId="8" fillId="0" borderId="0"/>
    <xf numFmtId="0" fontId="11" fillId="0" borderId="0"/>
    <xf numFmtId="0" fontId="1" fillId="0" borderId="0"/>
    <xf numFmtId="0" fontId="1" fillId="0" borderId="0"/>
    <xf numFmtId="0" fontId="4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44" fontId="0" fillId="0" borderId="0" xfId="19" applyFont="1"/>
    <xf numFmtId="0" fontId="14" fillId="0" borderId="0" xfId="0" applyFont="1"/>
    <xf numFmtId="0" fontId="15" fillId="0" borderId="0" xfId="0" applyFont="1"/>
    <xf numFmtId="44" fontId="14" fillId="0" borderId="0" xfId="19" applyFont="1"/>
    <xf numFmtId="0" fontId="16" fillId="0" borderId="0" xfId="0" applyFont="1"/>
    <xf numFmtId="0" fontId="18" fillId="0" borderId="0" xfId="0" applyFont="1"/>
    <xf numFmtId="0" fontId="17" fillId="0" borderId="0" xfId="0" applyFont="1"/>
    <xf numFmtId="0" fontId="19" fillId="0" borderId="0" xfId="0" applyFont="1"/>
    <xf numFmtId="44" fontId="18" fillId="0" borderId="0" xfId="19" applyFont="1"/>
    <xf numFmtId="44" fontId="15" fillId="0" borderId="0" xfId="19" applyFont="1"/>
    <xf numFmtId="0" fontId="20" fillId="0" borderId="0" xfId="0" applyFont="1"/>
    <xf numFmtId="44" fontId="20" fillId="0" borderId="0" xfId="19" applyFont="1"/>
    <xf numFmtId="44" fontId="21" fillId="0" borderId="0" xfId="19" applyFont="1"/>
    <xf numFmtId="44" fontId="21" fillId="0" borderId="0" xfId="19" applyFont="1" applyBorder="1"/>
    <xf numFmtId="44" fontId="16" fillId="0" borderId="0" xfId="19" applyFont="1"/>
    <xf numFmtId="44" fontId="23" fillId="0" borderId="0" xfId="19" applyFont="1"/>
    <xf numFmtId="0" fontId="23" fillId="0" borderId="0" xfId="0" applyFont="1"/>
    <xf numFmtId="44" fontId="21" fillId="0" borderId="0" xfId="0" applyNumberFormat="1" applyFont="1"/>
    <xf numFmtId="44" fontId="24" fillId="0" borderId="0" xfId="19" applyFont="1"/>
    <xf numFmtId="44" fontId="22" fillId="0" borderId="0" xfId="19" applyFont="1"/>
    <xf numFmtId="0" fontId="24" fillId="0" borderId="0" xfId="0" applyFont="1"/>
    <xf numFmtId="44" fontId="23" fillId="0" borderId="0" xfId="0" applyNumberFormat="1" applyFont="1"/>
    <xf numFmtId="0" fontId="25" fillId="0" borderId="0" xfId="0" applyFont="1"/>
    <xf numFmtId="0" fontId="21" fillId="0" borderId="0" xfId="0" applyFont="1"/>
    <xf numFmtId="9" fontId="18" fillId="0" borderId="0" xfId="20" applyFont="1"/>
    <xf numFmtId="165" fontId="25" fillId="0" borderId="0" xfId="20" applyNumberFormat="1" applyFont="1"/>
    <xf numFmtId="44" fontId="24" fillId="0" borderId="0" xfId="0" applyNumberFormat="1" applyFont="1"/>
  </cellXfs>
  <cellStyles count="21">
    <cellStyle name="Accent" xfId="7" xr:uid="{00000000-0005-0000-0000-000000000000}"/>
    <cellStyle name="Accent 1" xfId="8" xr:uid="{00000000-0005-0000-0000-000001000000}"/>
    <cellStyle name="Accent 2" xfId="9" xr:uid="{00000000-0005-0000-0000-000002000000}"/>
    <cellStyle name="Accent 3" xfId="10" xr:uid="{00000000-0005-0000-0000-000003000000}"/>
    <cellStyle name="Bad" xfId="4" builtinId="27" customBuiltin="1"/>
    <cellStyle name="Currency" xfId="19" builtinId="4"/>
    <cellStyle name="Error" xfId="11" xr:uid="{00000000-0005-0000-0000-000005000000}"/>
    <cellStyle name="Excel Built-in Currency" xfId="12" xr:uid="{00000000-0005-0000-0000-000006000000}"/>
    <cellStyle name="Footnote" xfId="13" xr:uid="{00000000-0005-0000-0000-000007000000}"/>
    <cellStyle name="Good" xfId="3" builtinId="26" customBuiltin="1"/>
    <cellStyle name="Heading" xfId="14" xr:uid="{00000000-0005-0000-0000-000009000000}"/>
    <cellStyle name="Heading 1" xfId="1" builtinId="16" customBuiltin="1"/>
    <cellStyle name="Heading 2" xfId="2" builtinId="17" customBuiltin="1"/>
    <cellStyle name="Hyperlink" xfId="15" xr:uid="{00000000-0005-0000-0000-00000C000000}"/>
    <cellStyle name="Neutral" xfId="5" builtinId="28" customBuiltin="1"/>
    <cellStyle name="Normal" xfId="0" builtinId="0" customBuiltin="1"/>
    <cellStyle name="Note" xfId="6" builtinId="10" customBuiltin="1"/>
    <cellStyle name="Percent" xfId="20" builtinId="5"/>
    <cellStyle name="Status" xfId="16" xr:uid="{00000000-0005-0000-0000-000010000000}"/>
    <cellStyle name="Text" xfId="17" xr:uid="{00000000-0005-0000-0000-000011000000}"/>
    <cellStyle name="Warning" xfId="18" xr:uid="{00000000-0005-0000-0000-000012000000}"/>
  </cellStyles>
  <dxfs count="37">
    <dxf>
      <font>
        <b/>
        <strike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b/>
        <strike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b/>
        <strike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523FE7-09C7-48E0-8B03-DD7FA65DB5CB}" name="Table7" displayName="Table7" ref="A1:D12" totalsRowShown="0" headerRowDxfId="36" dataDxfId="35">
  <autoFilter ref="A1:D12" xr:uid="{14523FE7-09C7-48E0-8B03-DD7FA65DB5CB}">
    <filterColumn colId="0" hiddenButton="1"/>
    <filterColumn colId="1" hiddenButton="1"/>
    <filterColumn colId="2" hiddenButton="1"/>
    <filterColumn colId="3" hiddenButton="1"/>
  </autoFilter>
  <tableColumns count="4">
    <tableColumn id="1" xr3:uid="{DAE083FD-63DC-4FBF-9D0D-FC9388827F7E}" name="Subscription" dataDxfId="34"/>
    <tableColumn id="2" xr3:uid="{22390417-BD01-41D8-8E6D-12D48FA6813A}" name="Cost" dataDxfId="33" dataCellStyle="Currency"/>
    <tableColumn id="3" xr3:uid="{0FAA7E08-F34E-4E14-8DB9-F08E0257BBBF}" name="Type" dataDxfId="32"/>
    <tableColumn id="4" xr3:uid="{74578AEF-E77D-4A23-8A5E-AC1E95B5D8E5}" name="Card" dataDxfId="31"/>
  </tableColumns>
  <tableStyleInfo name="TableStyleMedium2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57668B-8432-40D6-9B5E-2432423B0086}" name="Table5" displayName="Table5" ref="A1:D7" totalsRowShown="0" headerRowDxfId="30" dataDxfId="29">
  <autoFilter ref="A1:D7" xr:uid="{FF57668B-8432-40D6-9B5E-2432423B0086}">
    <filterColumn colId="0" hiddenButton="1"/>
    <filterColumn colId="1" hiddenButton="1"/>
    <filterColumn colId="2" hiddenButton="1"/>
    <filterColumn colId="3" hiddenButton="1"/>
  </autoFilter>
  <tableColumns count="4">
    <tableColumn id="1" xr3:uid="{38D20BFB-1092-4E2C-88B2-188D36688C6C}" name="Expense" dataDxfId="28"/>
    <tableColumn id="2" xr3:uid="{A5389BA2-7103-4B36-84F2-27AFBBF6D39A}" name="Cost" dataDxfId="27" dataCellStyle="Currency"/>
    <tableColumn id="3" xr3:uid="{C3381168-485A-44CD-BA89-4E7CF4D3725C}" name="Type" dataDxfId="26"/>
    <tableColumn id="4" xr3:uid="{0DEFC61A-DF15-49AB-A593-C7F1292CD173}" name="Card" dataDxfId="25"/>
  </tableColumns>
  <tableStyleInfo name="TableStyleMedium21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A38656-372A-45DA-9674-94BEDF72DF51}" name="Table6" displayName="Table6" ref="A10:D13" totalsRowShown="0" headerRowDxfId="24" dataDxfId="23">
  <autoFilter ref="A10:D13" xr:uid="{EAA38656-372A-45DA-9674-94BEDF72DF51}">
    <filterColumn colId="0" hiddenButton="1"/>
    <filterColumn colId="1" hiddenButton="1"/>
    <filterColumn colId="2" hiddenButton="1"/>
    <filterColumn colId="3" hiddenButton="1"/>
  </autoFilter>
  <tableColumns count="4">
    <tableColumn id="1" xr3:uid="{71D90A51-0817-4723-89B5-7CC49B05167F}" name="Expense Total" dataDxfId="22"/>
    <tableColumn id="2" xr3:uid="{8C0E2928-2F50-4FB2-8A50-8B8E5EDFB338}" name="Cost" dataDxfId="21" dataCellStyle="Currency"/>
    <tableColumn id="3" xr3:uid="{D828935E-58E2-44FD-942E-058A43A4AF2D}" name="Type" dataDxfId="20"/>
    <tableColumn id="4" xr3:uid="{112AEB25-DAC1-4D31-BFEF-10F0869B54CE}" name="Card" dataDxfId="19"/>
  </tableColumns>
  <tableStyleInfo name="TableStyleMedium21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8EC8F6F-9C0F-4AAE-9ABE-E552E8041598}" name="Table8" displayName="Table8" ref="A1:C4" totalsRowShown="0" headerRowDxfId="18" dataDxfId="17">
  <autoFilter ref="A1:C4" xr:uid="{58EC8F6F-9C0F-4AAE-9ABE-E552E8041598}">
    <filterColumn colId="0" hiddenButton="1"/>
    <filterColumn colId="1" hiddenButton="1"/>
    <filterColumn colId="2" hiddenButton="1"/>
  </autoFilter>
  <tableColumns count="3">
    <tableColumn id="1" xr3:uid="{0C715D90-556A-4437-BA5E-9AA0A5DDC798}" name="COL" dataDxfId="16"/>
    <tableColumn id="2" xr3:uid="{25471D93-542D-4B24-AAD9-77D59F0BE419}" name="Cost" dataDxfId="15"/>
    <tableColumn id="3" xr3:uid="{534D4431-BAF0-45C3-B881-621E9D8F296B}" name="Type" dataDxfId="14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8DAAEE-08ED-42B4-8906-25C12498421E}" name="Table9" displayName="Table9" ref="A7:C12" totalsRowShown="0" headerRowDxfId="13" dataDxfId="12">
  <autoFilter ref="A7:C12" xr:uid="{B08DAAEE-08ED-42B4-8906-25C12498421E}">
    <filterColumn colId="0" hiddenButton="1"/>
    <filterColumn colId="1" hiddenButton="1"/>
    <filterColumn colId="2" hiddenButton="1"/>
  </autoFilter>
  <tableColumns count="3">
    <tableColumn id="1" xr3:uid="{7E79FB11-7FED-4574-A8BF-73008635CE52}" name="COL (Savings)" dataDxfId="11"/>
    <tableColumn id="2" xr3:uid="{8D9CC95D-3FF0-4E86-8ABA-10E166249B8C}" name="Cost" dataDxfId="10" dataCellStyle="Currency"/>
    <tableColumn id="3" xr3:uid="{8FC62532-40EA-4A03-8DCE-DDC0BD175A18}" name="Type" dataDxfId="9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3CD2D4-7893-4380-9A8B-33164068C9A0}" name="Table12" displayName="Table12" ref="F1:H9" totalsRowShown="0" headerRowDxfId="8" dataDxfId="7">
  <autoFilter ref="F1:H9" xr:uid="{843CD2D4-7893-4380-9A8B-33164068C9A0}">
    <filterColumn colId="0" hiddenButton="1"/>
    <filterColumn colId="1" hiddenButton="1"/>
    <filterColumn colId="2" hiddenButton="1"/>
  </autoFilter>
  <tableColumns count="3">
    <tableColumn id="1" xr3:uid="{18B87FC6-DA51-44E6-BF9A-44D623AA8DFA}" name="COL" dataDxfId="6"/>
    <tableColumn id="2" xr3:uid="{DC18BDFA-0091-45B8-AE09-46852FFD3894}" name="Cost" dataDxfId="5" dataCellStyle="Currency"/>
    <tableColumn id="3" xr3:uid="{A44EF6BA-C23B-434F-8E4A-2A47E52FF621}" name="Type" dataDxfId="4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B67972A-1DB0-4665-8BE6-47CA41983392}" name="Table14" displayName="Table14" ref="K1:L5" totalsRowShown="0" headerRowDxfId="3" dataDxfId="2">
  <autoFilter ref="K1:L5" xr:uid="{7B67972A-1DB0-4665-8BE6-47CA41983392}">
    <filterColumn colId="0" hiddenButton="1"/>
    <filterColumn colId="1" hiddenButton="1"/>
  </autoFilter>
  <tableColumns count="2">
    <tableColumn id="1" xr3:uid="{38297948-4A23-42E3-B81A-FBC579DBEF36}" name="COL" dataDxfId="1"/>
    <tableColumn id="2" xr3:uid="{C92CF192-D82A-4937-8DB1-01FB1D975066}" name="Cost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328B-FDF5-4FEF-918A-77E67750CCB7}">
  <dimension ref="A1:D12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45" bestFit="1" customWidth="1"/>
    <col min="2" max="2" width="27.1640625" bestFit="1" customWidth="1"/>
    <col min="3" max="3" width="20.5" bestFit="1" customWidth="1"/>
    <col min="4" max="4" width="16.33203125" bestFit="1" customWidth="1"/>
  </cols>
  <sheetData>
    <row r="1" spans="1:4" ht="37" x14ac:dyDescent="0.45">
      <c r="A1" s="2" t="s">
        <v>0</v>
      </c>
      <c r="B1" s="2" t="s">
        <v>6</v>
      </c>
      <c r="C1" s="2" t="s">
        <v>1</v>
      </c>
      <c r="D1" s="2" t="s">
        <v>2</v>
      </c>
    </row>
    <row r="2" spans="1:4" ht="37" x14ac:dyDescent="0.45">
      <c r="A2" s="5" t="s">
        <v>3</v>
      </c>
      <c r="B2" s="4"/>
      <c r="C2" s="2" t="s">
        <v>4</v>
      </c>
      <c r="D2" s="2"/>
    </row>
    <row r="3" spans="1:4" ht="37" x14ac:dyDescent="0.45">
      <c r="A3" s="5" t="s">
        <v>13</v>
      </c>
      <c r="B3" s="4"/>
      <c r="C3" s="2" t="s">
        <v>4</v>
      </c>
      <c r="D3" s="2"/>
    </row>
    <row r="4" spans="1:4" ht="37" x14ac:dyDescent="0.45">
      <c r="A4" s="5" t="s">
        <v>43</v>
      </c>
      <c r="B4" s="4"/>
      <c r="C4" s="2" t="s">
        <v>4</v>
      </c>
      <c r="D4" s="2"/>
    </row>
    <row r="5" spans="1:4" ht="37" x14ac:dyDescent="0.45">
      <c r="A5" s="5" t="s">
        <v>44</v>
      </c>
      <c r="B5" s="4"/>
      <c r="C5" s="2" t="s">
        <v>4</v>
      </c>
      <c r="D5" s="2"/>
    </row>
    <row r="6" spans="1:4" ht="37" x14ac:dyDescent="0.45">
      <c r="A6" s="5" t="s">
        <v>45</v>
      </c>
      <c r="B6" s="4"/>
      <c r="C6" s="2" t="s">
        <v>4</v>
      </c>
      <c r="D6" s="2"/>
    </row>
    <row r="7" spans="1:4" ht="37" x14ac:dyDescent="0.45">
      <c r="A7" s="5" t="s">
        <v>46</v>
      </c>
      <c r="B7" s="4"/>
      <c r="C7" s="2" t="s">
        <v>4</v>
      </c>
      <c r="D7" s="2"/>
    </row>
    <row r="8" spans="1:4" ht="37" x14ac:dyDescent="0.45">
      <c r="A8" s="5" t="s">
        <v>37</v>
      </c>
      <c r="B8" s="4"/>
      <c r="C8" s="2" t="s">
        <v>12</v>
      </c>
      <c r="D8" s="2"/>
    </row>
    <row r="9" spans="1:4" ht="37" x14ac:dyDescent="0.45">
      <c r="A9" s="5" t="s">
        <v>36</v>
      </c>
      <c r="B9" s="4"/>
      <c r="C9" s="2" t="s">
        <v>12</v>
      </c>
      <c r="D9" s="2"/>
    </row>
    <row r="10" spans="1:4" ht="37" x14ac:dyDescent="0.45">
      <c r="A10" s="5" t="s">
        <v>11</v>
      </c>
      <c r="B10" s="4"/>
      <c r="C10" s="2" t="s">
        <v>12</v>
      </c>
      <c r="D10" s="2"/>
    </row>
    <row r="11" spans="1:4" ht="37" x14ac:dyDescent="0.45">
      <c r="A11" s="7" t="s">
        <v>5</v>
      </c>
      <c r="B11" s="13">
        <f>SUM(B2:B7)</f>
        <v>0</v>
      </c>
      <c r="C11" s="6"/>
      <c r="D11" s="6"/>
    </row>
    <row r="12" spans="1:4" ht="37" x14ac:dyDescent="0.45">
      <c r="A12" s="7" t="s">
        <v>38</v>
      </c>
      <c r="B12" s="20">
        <f>SUM(B2:B10)</f>
        <v>0</v>
      </c>
      <c r="C12" s="6"/>
      <c r="D12" s="6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ABA74-4A91-4BC9-B270-AEA87712636C}">
  <dimension ref="A1:D13"/>
  <sheetViews>
    <sheetView workbookViewId="0">
      <selection activeCell="D4" sqref="D4"/>
    </sheetView>
  </sheetViews>
  <sheetFormatPr baseColWidth="10" defaultColWidth="8.83203125" defaultRowHeight="15" x14ac:dyDescent="0.2"/>
  <cols>
    <col min="1" max="1" width="41.83203125" bestFit="1" customWidth="1"/>
    <col min="2" max="2" width="27.6640625" bestFit="1" customWidth="1"/>
    <col min="3" max="3" width="29.33203125" bestFit="1" customWidth="1"/>
    <col min="4" max="4" width="18" bestFit="1" customWidth="1"/>
  </cols>
  <sheetData>
    <row r="1" spans="1:4" ht="37" x14ac:dyDescent="0.45">
      <c r="A1" s="2" t="s">
        <v>8</v>
      </c>
      <c r="B1" s="2" t="s">
        <v>6</v>
      </c>
      <c r="C1" s="2" t="s">
        <v>1</v>
      </c>
      <c r="D1" s="2" t="s">
        <v>2</v>
      </c>
    </row>
    <row r="2" spans="1:4" ht="37" x14ac:dyDescent="0.45">
      <c r="A2" s="5" t="s">
        <v>0</v>
      </c>
      <c r="B2" s="13"/>
      <c r="C2" s="6" t="s">
        <v>4</v>
      </c>
      <c r="D2" s="2"/>
    </row>
    <row r="3" spans="1:4" ht="37" x14ac:dyDescent="0.45">
      <c r="A3" s="5" t="s">
        <v>7</v>
      </c>
      <c r="B3" s="4"/>
      <c r="C3" s="2" t="s">
        <v>4</v>
      </c>
      <c r="D3" s="2"/>
    </row>
    <row r="4" spans="1:4" ht="37" x14ac:dyDescent="0.45">
      <c r="A4" s="5" t="s">
        <v>9</v>
      </c>
      <c r="B4" s="4"/>
      <c r="C4" s="2" t="s">
        <v>4</v>
      </c>
      <c r="D4" s="2"/>
    </row>
    <row r="5" spans="1:4" ht="37" x14ac:dyDescent="0.45">
      <c r="A5" s="5" t="s">
        <v>10</v>
      </c>
      <c r="B5" s="4"/>
      <c r="C5" s="2" t="s">
        <v>4</v>
      </c>
      <c r="D5" s="2"/>
    </row>
    <row r="6" spans="1:4" ht="37" x14ac:dyDescent="0.45">
      <c r="A6" s="5" t="s">
        <v>20</v>
      </c>
      <c r="B6" s="20"/>
      <c r="C6" s="2" t="s">
        <v>41</v>
      </c>
      <c r="D6" s="2"/>
    </row>
    <row r="7" spans="1:4" ht="37" x14ac:dyDescent="0.45">
      <c r="A7" s="7" t="s">
        <v>5</v>
      </c>
      <c r="B7" s="14">
        <f>SUM(B2:B5)</f>
        <v>0</v>
      </c>
      <c r="C7" s="6"/>
      <c r="D7" s="6"/>
    </row>
    <row r="8" spans="1:4" x14ac:dyDescent="0.2">
      <c r="B8" s="1"/>
    </row>
    <row r="9" spans="1:4" x14ac:dyDescent="0.2">
      <c r="B9" s="1"/>
    </row>
    <row r="10" spans="1:4" ht="37" x14ac:dyDescent="0.45">
      <c r="A10" s="8" t="s">
        <v>17</v>
      </c>
      <c r="B10" s="2" t="s">
        <v>6</v>
      </c>
      <c r="C10" s="2" t="s">
        <v>1</v>
      </c>
      <c r="D10" s="2" t="s">
        <v>2</v>
      </c>
    </row>
    <row r="11" spans="1:4" ht="37" x14ac:dyDescent="0.45">
      <c r="A11" s="5" t="s">
        <v>14</v>
      </c>
      <c r="B11" s="15">
        <f>B7</f>
        <v>0</v>
      </c>
      <c r="C11" s="5" t="s">
        <v>4</v>
      </c>
      <c r="D11" s="3"/>
    </row>
    <row r="12" spans="1:4" ht="37" x14ac:dyDescent="0.45">
      <c r="A12" s="5" t="s">
        <v>15</v>
      </c>
      <c r="B12" s="15">
        <v>0</v>
      </c>
      <c r="C12" s="5" t="s">
        <v>4</v>
      </c>
      <c r="D12" s="3"/>
    </row>
    <row r="13" spans="1:4" ht="37" x14ac:dyDescent="0.45">
      <c r="A13" s="7" t="s">
        <v>5</v>
      </c>
      <c r="B13" s="14">
        <f>SUM(B11:B12)</f>
        <v>0</v>
      </c>
      <c r="C13" s="6"/>
      <c r="D13" s="6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ACC84-103B-436D-83C4-E0D09DF05106}">
  <dimension ref="A1:L23"/>
  <sheetViews>
    <sheetView tabSelected="1" zoomScale="75" workbookViewId="0">
      <selection activeCell="F17" sqref="F17"/>
    </sheetView>
  </sheetViews>
  <sheetFormatPr baseColWidth="10" defaultColWidth="8.83203125" defaultRowHeight="15" x14ac:dyDescent="0.2"/>
  <cols>
    <col min="1" max="1" width="38" bestFit="1" customWidth="1"/>
    <col min="2" max="2" width="27.1640625" bestFit="1" customWidth="1"/>
    <col min="3" max="3" width="20.33203125" bestFit="1" customWidth="1"/>
    <col min="6" max="6" width="54.1640625" bestFit="1" customWidth="1"/>
    <col min="7" max="7" width="33.33203125" bestFit="1" customWidth="1"/>
    <col min="8" max="8" width="23.6640625" bestFit="1" customWidth="1"/>
    <col min="11" max="11" width="26.83203125" bestFit="1" customWidth="1"/>
    <col min="12" max="12" width="27.1640625" bestFit="1" customWidth="1"/>
  </cols>
  <sheetData>
    <row r="1" spans="1:12" ht="37" x14ac:dyDescent="0.45">
      <c r="A1" s="2" t="s">
        <v>16</v>
      </c>
      <c r="B1" s="2" t="s">
        <v>6</v>
      </c>
      <c r="C1" s="2" t="s">
        <v>1</v>
      </c>
      <c r="F1" s="2" t="s">
        <v>16</v>
      </c>
      <c r="G1" s="2" t="s">
        <v>6</v>
      </c>
      <c r="H1" s="2" t="s">
        <v>1</v>
      </c>
      <c r="K1" s="2" t="s">
        <v>16</v>
      </c>
      <c r="L1" s="2" t="s">
        <v>6</v>
      </c>
    </row>
    <row r="2" spans="1:12" ht="37" x14ac:dyDescent="0.45">
      <c r="A2" s="17" t="s">
        <v>19</v>
      </c>
      <c r="B2" s="22"/>
      <c r="C2" s="17" t="s">
        <v>4</v>
      </c>
      <c r="F2" s="2" t="s">
        <v>24</v>
      </c>
      <c r="G2" s="4"/>
      <c r="H2" s="2" t="s">
        <v>24</v>
      </c>
      <c r="K2" s="6" t="s">
        <v>34</v>
      </c>
      <c r="L2" s="25">
        <v>0.12</v>
      </c>
    </row>
    <row r="3" spans="1:12" ht="37" x14ac:dyDescent="0.45">
      <c r="A3" s="3" t="s">
        <v>14</v>
      </c>
      <c r="B3" s="10"/>
      <c r="C3" s="3" t="s">
        <v>4</v>
      </c>
      <c r="F3" s="2" t="s">
        <v>25</v>
      </c>
      <c r="G3" s="4">
        <f>G2*20</f>
        <v>0</v>
      </c>
      <c r="H3" s="2" t="s">
        <v>25</v>
      </c>
      <c r="K3" s="23" t="s">
        <v>28</v>
      </c>
      <c r="L3" s="26">
        <v>3.2399999999999998E-2</v>
      </c>
    </row>
    <row r="4" spans="1:12" ht="37" x14ac:dyDescent="0.45">
      <c r="A4" s="21" t="s">
        <v>5</v>
      </c>
      <c r="B4" s="19">
        <f>B2-B3</f>
        <v>0</v>
      </c>
      <c r="C4" s="21" t="s">
        <v>4</v>
      </c>
      <c r="F4" s="2" t="s">
        <v>32</v>
      </c>
      <c r="G4" s="4">
        <f>G3*2</f>
        <v>0</v>
      </c>
      <c r="H4" s="2" t="s">
        <v>18</v>
      </c>
      <c r="K4" s="24" t="s">
        <v>29</v>
      </c>
      <c r="L4" s="18">
        <f>G8*L3</f>
        <v>0</v>
      </c>
    </row>
    <row r="5" spans="1:12" ht="37" x14ac:dyDescent="0.45">
      <c r="A5" s="2"/>
      <c r="B5" s="9"/>
      <c r="C5" s="2"/>
      <c r="F5" s="6" t="s">
        <v>32</v>
      </c>
      <c r="G5" s="9">
        <f>G4*2</f>
        <v>0</v>
      </c>
      <c r="H5" s="6" t="s">
        <v>4</v>
      </c>
      <c r="K5" s="21" t="s">
        <v>42</v>
      </c>
      <c r="L5" s="27">
        <f>G9-L4</f>
        <v>0</v>
      </c>
    </row>
    <row r="6" spans="1:12" ht="37" x14ac:dyDescent="0.45">
      <c r="A6" s="6"/>
      <c r="B6" s="9"/>
      <c r="C6" s="2"/>
      <c r="F6" s="11" t="s">
        <v>30</v>
      </c>
      <c r="G6" s="12">
        <f>G5*12</f>
        <v>0</v>
      </c>
      <c r="H6" s="12" t="s">
        <v>31</v>
      </c>
    </row>
    <row r="7" spans="1:12" ht="37" x14ac:dyDescent="0.45">
      <c r="A7" s="2" t="s">
        <v>40</v>
      </c>
      <c r="B7" s="2" t="s">
        <v>6</v>
      </c>
      <c r="C7" s="2" t="s">
        <v>1</v>
      </c>
      <c r="F7" s="3" t="s">
        <v>26</v>
      </c>
      <c r="G7" s="10">
        <f>G6*L2</f>
        <v>0</v>
      </c>
      <c r="H7" s="10" t="s">
        <v>31</v>
      </c>
    </row>
    <row r="8" spans="1:12" ht="37" x14ac:dyDescent="0.45">
      <c r="A8" s="21" t="s">
        <v>21</v>
      </c>
      <c r="B8" s="19">
        <f>B4</f>
        <v>0</v>
      </c>
      <c r="C8" s="21" t="s">
        <v>4</v>
      </c>
      <c r="F8" s="21" t="s">
        <v>27</v>
      </c>
      <c r="G8" s="19">
        <f>G6-G7</f>
        <v>0</v>
      </c>
      <c r="H8" s="19" t="s">
        <v>31</v>
      </c>
    </row>
    <row r="9" spans="1:12" ht="37" x14ac:dyDescent="0.45">
      <c r="A9" s="5" t="s">
        <v>35</v>
      </c>
      <c r="B9" s="15"/>
      <c r="C9" s="5" t="s">
        <v>4</v>
      </c>
      <c r="F9" s="17" t="s">
        <v>33</v>
      </c>
      <c r="G9" s="16">
        <f>G8/12</f>
        <v>0</v>
      </c>
      <c r="H9" s="17" t="s">
        <v>4</v>
      </c>
    </row>
    <row r="10" spans="1:12" ht="37" x14ac:dyDescent="0.45">
      <c r="A10" s="5" t="s">
        <v>22</v>
      </c>
      <c r="B10" s="15"/>
      <c r="C10" s="5" t="s">
        <v>4</v>
      </c>
    </row>
    <row r="11" spans="1:12" ht="37" x14ac:dyDescent="0.45">
      <c r="A11" s="5" t="s">
        <v>23</v>
      </c>
      <c r="B11" s="15"/>
      <c r="C11" s="5" t="s">
        <v>4</v>
      </c>
    </row>
    <row r="12" spans="1:12" ht="37" x14ac:dyDescent="0.45">
      <c r="A12" s="11" t="s">
        <v>5</v>
      </c>
      <c r="B12" s="12">
        <f>B8-SUM(B9:B11)</f>
        <v>0</v>
      </c>
      <c r="C12" s="11"/>
    </row>
    <row r="23" spans="7:7" x14ac:dyDescent="0.2">
      <c r="G23" t="s">
        <v>39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Subscription</vt:lpstr>
      <vt:lpstr>Expense</vt:lpstr>
      <vt:lpstr>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Ninh Nguyen</dc:creator>
  <cp:lastModifiedBy>Ninh Nguyen</cp:lastModifiedBy>
  <cp:revision>6</cp:revision>
  <dcterms:created xsi:type="dcterms:W3CDTF">2019-05-18T02:33:54Z</dcterms:created>
  <dcterms:modified xsi:type="dcterms:W3CDTF">2026-01-14T22:57:33Z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